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科研\IDEC\实验结果\"/>
    </mc:Choice>
  </mc:AlternateContent>
  <xr:revisionPtr revIDLastSave="0" documentId="13_ncr:1_{83231B57-5831-4F13-BE7C-9BF00C07572E}" xr6:coauthVersionLast="47" xr6:coauthVersionMax="47" xr10:uidLastSave="{00000000-0000-0000-0000-000000000000}"/>
  <bookViews>
    <workbookView xWindow="0" yWindow="0" windowWidth="22400" windowHeight="1328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/>
  <c r="B26" i="2" s="1"/>
  <c r="B36" i="2" s="1"/>
  <c r="C17" i="2"/>
  <c r="C26" i="2" s="1"/>
  <c r="C36" i="2" s="1"/>
  <c r="D17" i="2"/>
  <c r="D26" i="2" s="1"/>
  <c r="D36" i="2" s="1"/>
  <c r="D18" i="2"/>
  <c r="D27" i="2" s="1"/>
  <c r="D37" i="2" s="1"/>
  <c r="C18" i="2"/>
  <c r="C27" i="2" s="1"/>
  <c r="C37" i="2" s="1"/>
  <c r="B18" i="2"/>
  <c r="B27" i="2" s="1"/>
  <c r="B37" i="2" s="1"/>
  <c r="D16" i="2"/>
  <c r="D25" i="2" s="1"/>
  <c r="D35" i="2" s="1"/>
  <c r="C16" i="2"/>
  <c r="C25" i="2" s="1"/>
  <c r="C35" i="2" s="1"/>
  <c r="B16" i="2"/>
  <c r="B25" i="2" s="1"/>
  <c r="B35" i="2" s="1"/>
  <c r="D15" i="2"/>
  <c r="D24" i="2" s="1"/>
  <c r="C15" i="2"/>
  <c r="C24" i="2" s="1"/>
  <c r="B15" i="2"/>
  <c r="B24" i="2" s="1"/>
  <c r="D14" i="2"/>
  <c r="D23" i="2" s="1"/>
  <c r="C14" i="2"/>
  <c r="C23" i="2" s="1"/>
  <c r="B14" i="2"/>
  <c r="B23" i="2" s="1"/>
  <c r="D13" i="2"/>
  <c r="D22" i="2" s="1"/>
  <c r="C13" i="2"/>
  <c r="C22" i="2" s="1"/>
  <c r="B13" i="2"/>
  <c r="B22" i="2" s="1"/>
  <c r="B32" i="2" l="1"/>
  <c r="C34" i="2"/>
  <c r="B34" i="2"/>
  <c r="C32" i="2"/>
  <c r="D33" i="2"/>
  <c r="C33" i="2"/>
  <c r="B33" i="2"/>
  <c r="D34" i="2"/>
  <c r="D32" i="2"/>
</calcChain>
</file>

<file path=xl/sharedStrings.xml><?xml version="1.0" encoding="utf-8"?>
<sst xmlns="http://schemas.openxmlformats.org/spreadsheetml/2006/main" count="72" uniqueCount="24">
  <si>
    <t>蛋白</t>
  </si>
  <si>
    <t>DMS</t>
  </si>
  <si>
    <t>UE-2</t>
  </si>
  <si>
    <t>E61</t>
  </si>
  <si>
    <t>E91</t>
  </si>
  <si>
    <t>T108I</t>
  </si>
  <si>
    <t>E61+E91</t>
    <phoneticPr fontId="1" type="noConversion"/>
  </si>
  <si>
    <t>E61+E91+T108I</t>
    <phoneticPr fontId="1" type="noConversion"/>
  </si>
  <si>
    <t>细菌</t>
    <phoneticPr fontId="1" type="noConversion"/>
  </si>
  <si>
    <t>MeSH</t>
    <phoneticPr fontId="1" type="noConversion"/>
  </si>
  <si>
    <t>SQRT</t>
  </si>
  <si>
    <t>y = 3.1854x - 25.261</t>
    <phoneticPr fontId="1" type="noConversion"/>
  </si>
  <si>
    <t>E91Q</t>
    <phoneticPr fontId="1" type="noConversion"/>
  </si>
  <si>
    <t>E63Q</t>
    <phoneticPr fontId="1" type="noConversion"/>
  </si>
  <si>
    <t>E63Q+E91Q</t>
    <phoneticPr fontId="1" type="noConversion"/>
  </si>
  <si>
    <t>E63Q+E91Q+T108I</t>
    <phoneticPr fontId="1" type="noConversion"/>
  </si>
  <si>
    <t>Strain / Variant</t>
  </si>
  <si>
    <t>Strain / Variant</t>
    <phoneticPr fontId="1" type="noConversion"/>
  </si>
  <si>
    <t>DMS Peak Area</t>
  </si>
  <si>
    <t>Standard Curve Equation</t>
    <phoneticPr fontId="1" type="noConversion"/>
  </si>
  <si>
    <t>Calculated Concentration</t>
    <phoneticPr fontId="1" type="noConversion"/>
  </si>
  <si>
    <t>UE-2</t>
    <phoneticPr fontId="1" type="noConversion"/>
  </si>
  <si>
    <t>T108I</t>
    <phoneticPr fontId="1" type="noConversion"/>
  </si>
  <si>
    <r>
      <t xml:space="preserve">Absolute Amount (per 200 </t>
    </r>
    <r>
      <rPr>
        <b/>
        <sz val="11"/>
        <color theme="0"/>
        <rFont val="Calibri"/>
        <family val="3"/>
        <charset val="161"/>
      </rPr>
      <t>μ</t>
    </r>
    <r>
      <rPr>
        <b/>
        <sz val="11"/>
        <color theme="0"/>
        <rFont val="宋体"/>
        <family val="3"/>
        <charset val="134"/>
        <scheme val="minor"/>
      </rPr>
      <t>L)</t>
    </r>
    <r>
      <rPr>
        <sz val="11"/>
        <color theme="1"/>
        <rFont val="宋体"/>
        <family val="3"/>
        <charset val="134"/>
        <scheme val="minor"/>
      </rPr>
      <t xml:space="preserve">	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</si>
</sst>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theme="0"/>
      <name val="Calibri"/>
      <family val="3"/>
      <charset val="16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2" fillId="0" borderId="0" xfId="0" applyFont="1" applyFill="1" applyAlignment="1"/>
    <xf numFmtId="0" fontId="2" fillId="0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zoomScale="81" workbookViewId="0">
      <selection activeCell="G12" sqref="G12:J33"/>
    </sheetView>
  </sheetViews>
  <sheetFormatPr defaultColWidth="9.1796875" defaultRowHeight="14" x14ac:dyDescent="0.25"/>
  <cols>
    <col min="2" max="2" width="14.36328125" bestFit="1" customWidth="1"/>
    <col min="3" max="5" width="9.6328125"/>
    <col min="7" max="7" width="14.36328125" bestFit="1" customWidth="1"/>
    <col min="8" max="8" width="10.08984375" bestFit="1" customWidth="1"/>
  </cols>
  <sheetData>
    <row r="1" spans="1:10" x14ac:dyDescent="0.25">
      <c r="A1" s="1">
        <v>9.19</v>
      </c>
      <c r="B1" s="1" t="s">
        <v>0</v>
      </c>
      <c r="C1" s="1"/>
      <c r="D1" s="1"/>
      <c r="E1" s="1"/>
    </row>
    <row r="2" spans="1:10" x14ac:dyDescent="0.25">
      <c r="A2" s="1"/>
      <c r="B2" s="6" t="s">
        <v>1</v>
      </c>
      <c r="C2" s="6"/>
      <c r="D2" s="6"/>
      <c r="E2" s="6"/>
    </row>
    <row r="3" spans="1:10" x14ac:dyDescent="0.25">
      <c r="A3" s="1"/>
      <c r="B3" s="1"/>
      <c r="C3" s="1">
        <v>1</v>
      </c>
      <c r="D3" s="1">
        <v>2</v>
      </c>
      <c r="E3" s="1">
        <v>3</v>
      </c>
    </row>
    <row r="4" spans="1:10" x14ac:dyDescent="0.25">
      <c r="A4" s="1"/>
      <c r="B4" s="1" t="s">
        <v>2</v>
      </c>
      <c r="C4" s="1">
        <v>28107272</v>
      </c>
      <c r="D4" s="1">
        <v>28944890</v>
      </c>
      <c r="E4" s="1">
        <v>28237044</v>
      </c>
    </row>
    <row r="5" spans="1:10" x14ac:dyDescent="0.25">
      <c r="A5" s="1"/>
      <c r="B5" s="1" t="s">
        <v>4</v>
      </c>
      <c r="C5" s="1">
        <v>30869850</v>
      </c>
      <c r="D5" s="1">
        <v>32906088</v>
      </c>
      <c r="E5" s="1">
        <v>30473506</v>
      </c>
    </row>
    <row r="6" spans="1:10" x14ac:dyDescent="0.25">
      <c r="A6" s="1"/>
      <c r="B6" s="1" t="s">
        <v>5</v>
      </c>
      <c r="C6" s="1">
        <v>28293208</v>
      </c>
      <c r="D6" s="1">
        <v>30664256</v>
      </c>
      <c r="E6" s="1">
        <v>30666224</v>
      </c>
    </row>
    <row r="7" spans="1:10" x14ac:dyDescent="0.25">
      <c r="A7" s="1"/>
      <c r="B7" s="1" t="s">
        <v>3</v>
      </c>
      <c r="C7" s="1"/>
      <c r="D7" s="1"/>
      <c r="E7" s="1"/>
    </row>
    <row r="8" spans="1:10" x14ac:dyDescent="0.25">
      <c r="A8" s="1"/>
      <c r="B8" s="2" t="s">
        <v>6</v>
      </c>
      <c r="C8" s="1"/>
      <c r="D8" s="1"/>
      <c r="E8" s="1"/>
    </row>
    <row r="9" spans="1:10" x14ac:dyDescent="0.25">
      <c r="A9" s="1"/>
      <c r="B9" s="2" t="s">
        <v>7</v>
      </c>
      <c r="C9" s="1"/>
      <c r="D9" s="1"/>
      <c r="E9" s="1"/>
    </row>
    <row r="12" spans="1:10" x14ac:dyDescent="0.25">
      <c r="A12" s="1">
        <v>9.1199999999999992</v>
      </c>
      <c r="B12" s="1" t="s">
        <v>0</v>
      </c>
      <c r="C12" s="1"/>
      <c r="D12" s="1"/>
      <c r="E12" s="1"/>
      <c r="G12" s="1"/>
      <c r="H12" s="1"/>
      <c r="I12" s="1"/>
      <c r="J12" s="1"/>
    </row>
    <row r="13" spans="1:10" x14ac:dyDescent="0.25">
      <c r="A13" s="1"/>
      <c r="B13" s="7" t="s">
        <v>9</v>
      </c>
      <c r="C13" s="6"/>
      <c r="D13" s="6"/>
      <c r="E13" s="6"/>
      <c r="G13" s="6" t="s">
        <v>1</v>
      </c>
      <c r="H13" s="6"/>
      <c r="I13" s="6"/>
      <c r="J13" s="6"/>
    </row>
    <row r="14" spans="1:10" x14ac:dyDescent="0.25">
      <c r="A14" s="1"/>
      <c r="B14" s="1"/>
      <c r="C14" s="1">
        <v>1</v>
      </c>
      <c r="D14" s="1">
        <v>2</v>
      </c>
      <c r="E14" s="1">
        <v>3</v>
      </c>
      <c r="G14" s="1"/>
      <c r="H14" s="1">
        <v>1</v>
      </c>
      <c r="I14" s="1">
        <v>2</v>
      </c>
      <c r="J14" s="1">
        <v>3</v>
      </c>
    </row>
    <row r="15" spans="1:10" x14ac:dyDescent="0.25">
      <c r="A15" s="1"/>
      <c r="B15" s="1">
        <v>0</v>
      </c>
      <c r="C15" s="3">
        <v>17721938</v>
      </c>
      <c r="D15" s="3">
        <v>11586909</v>
      </c>
      <c r="E15" s="3">
        <v>12420793</v>
      </c>
      <c r="G15" s="1">
        <v>0</v>
      </c>
      <c r="H15" s="3"/>
      <c r="I15" s="3"/>
      <c r="J15" s="3"/>
    </row>
    <row r="16" spans="1:10" x14ac:dyDescent="0.25">
      <c r="A16" s="1"/>
      <c r="B16" s="1" t="s">
        <v>2</v>
      </c>
      <c r="C16" s="1">
        <v>16334503</v>
      </c>
      <c r="D16" s="1"/>
      <c r="E16" s="3"/>
      <c r="G16" s="1" t="s">
        <v>2</v>
      </c>
      <c r="H16" s="1">
        <v>22846530</v>
      </c>
      <c r="I16" s="1">
        <v>19808280</v>
      </c>
      <c r="J16" s="1"/>
    </row>
    <row r="17" spans="1:10" x14ac:dyDescent="0.25">
      <c r="A17" s="1"/>
      <c r="B17" s="1" t="s">
        <v>4</v>
      </c>
      <c r="C17" s="1">
        <v>16957132</v>
      </c>
      <c r="D17" s="1"/>
      <c r="E17" s="1"/>
      <c r="G17" s="1" t="s">
        <v>4</v>
      </c>
      <c r="H17" s="1">
        <v>20195662</v>
      </c>
      <c r="I17" s="1">
        <v>20705410</v>
      </c>
      <c r="J17" s="3"/>
    </row>
    <row r="18" spans="1:10" x14ac:dyDescent="0.25">
      <c r="A18" s="1"/>
      <c r="B18" s="1" t="s">
        <v>5</v>
      </c>
      <c r="C18" s="1"/>
      <c r="D18" s="1"/>
      <c r="E18" s="1"/>
      <c r="G18" s="1" t="s">
        <v>5</v>
      </c>
      <c r="H18" s="1">
        <v>18840194</v>
      </c>
      <c r="I18" s="1">
        <v>20016006</v>
      </c>
      <c r="J18" s="1">
        <v>19780746</v>
      </c>
    </row>
    <row r="19" spans="1:10" x14ac:dyDescent="0.25">
      <c r="A19" s="1"/>
      <c r="B19" s="1" t="s">
        <v>3</v>
      </c>
      <c r="C19" s="1">
        <v>14894695</v>
      </c>
      <c r="D19" s="1">
        <v>12479944</v>
      </c>
      <c r="E19" s="1">
        <v>13939620</v>
      </c>
      <c r="G19" s="1" t="s">
        <v>3</v>
      </c>
      <c r="H19" s="1"/>
      <c r="I19" s="1"/>
      <c r="J19" s="1"/>
    </row>
    <row r="20" spans="1:10" x14ac:dyDescent="0.25">
      <c r="A20" s="1"/>
      <c r="B20" s="2" t="s">
        <v>6</v>
      </c>
      <c r="C20" s="1">
        <v>17902614</v>
      </c>
      <c r="D20" s="1">
        <v>16622074</v>
      </c>
      <c r="E20" s="1">
        <v>15489256</v>
      </c>
      <c r="G20" s="2" t="s">
        <v>6</v>
      </c>
      <c r="H20" s="1"/>
      <c r="I20" s="1"/>
      <c r="J20" s="1"/>
    </row>
    <row r="21" spans="1:10" x14ac:dyDescent="0.25">
      <c r="A21" s="3"/>
      <c r="B21" s="2" t="s">
        <v>7</v>
      </c>
      <c r="C21" s="1">
        <v>15650865</v>
      </c>
      <c r="D21" s="1">
        <v>17378938</v>
      </c>
      <c r="E21" s="3"/>
      <c r="G21" s="2" t="s">
        <v>7</v>
      </c>
      <c r="H21" s="1"/>
      <c r="I21" s="1"/>
      <c r="J21" s="1"/>
    </row>
    <row r="24" spans="1:10" x14ac:dyDescent="0.25">
      <c r="A24" s="3"/>
      <c r="B24" s="2" t="s">
        <v>8</v>
      </c>
      <c r="C24" s="1"/>
      <c r="D24" s="1"/>
      <c r="E24" s="1"/>
      <c r="G24" s="1"/>
      <c r="H24" s="1"/>
      <c r="I24" s="1"/>
      <c r="J24" s="1"/>
    </row>
    <row r="25" spans="1:10" x14ac:dyDescent="0.25">
      <c r="A25" s="3"/>
      <c r="B25" s="7" t="s">
        <v>9</v>
      </c>
      <c r="C25" s="6"/>
      <c r="D25" s="6"/>
      <c r="E25" s="6"/>
      <c r="G25" s="6" t="s">
        <v>1</v>
      </c>
      <c r="H25" s="6"/>
      <c r="I25" s="6"/>
      <c r="J25" s="6"/>
    </row>
    <row r="26" spans="1:10" x14ac:dyDescent="0.25">
      <c r="A26" s="3"/>
      <c r="B26" s="1"/>
      <c r="C26" s="1">
        <v>1</v>
      </c>
      <c r="D26" s="1">
        <v>2</v>
      </c>
      <c r="E26" s="1">
        <v>3</v>
      </c>
      <c r="G26" s="1"/>
      <c r="H26" s="1">
        <v>1</v>
      </c>
      <c r="I26" s="1">
        <v>2</v>
      </c>
      <c r="J26" s="1">
        <v>3</v>
      </c>
    </row>
    <row r="27" spans="1:10" x14ac:dyDescent="0.25">
      <c r="A27" s="3"/>
      <c r="B27" s="1">
        <v>0</v>
      </c>
      <c r="C27" s="3">
        <v>1195499.3999999999</v>
      </c>
      <c r="D27" s="3">
        <v>1547306.8</v>
      </c>
      <c r="E27" s="3">
        <v>1847497</v>
      </c>
      <c r="G27" s="1">
        <v>0</v>
      </c>
      <c r="H27" s="3"/>
      <c r="I27" s="3"/>
      <c r="J27" s="3"/>
    </row>
    <row r="28" spans="1:10" x14ac:dyDescent="0.25">
      <c r="A28" s="3"/>
      <c r="B28" s="1" t="s">
        <v>2</v>
      </c>
      <c r="C28" s="3"/>
      <c r="D28" s="3"/>
      <c r="E28" s="3"/>
      <c r="G28" s="1" t="s">
        <v>2</v>
      </c>
      <c r="H28" s="1">
        <v>3359310.5</v>
      </c>
      <c r="I28" s="1">
        <v>328321.8</v>
      </c>
      <c r="J28" s="1">
        <v>6451045</v>
      </c>
    </row>
    <row r="29" spans="1:10" x14ac:dyDescent="0.25">
      <c r="A29" s="3"/>
      <c r="B29" s="1" t="s">
        <v>4</v>
      </c>
      <c r="C29" s="3"/>
      <c r="D29" s="3"/>
      <c r="E29" s="1"/>
      <c r="G29" s="1" t="s">
        <v>4</v>
      </c>
      <c r="H29" s="1">
        <v>20195662</v>
      </c>
      <c r="I29" s="1">
        <v>20705410</v>
      </c>
      <c r="J29" s="1"/>
    </row>
    <row r="30" spans="1:10" x14ac:dyDescent="0.25">
      <c r="A30" s="3"/>
      <c r="B30" s="1" t="s">
        <v>5</v>
      </c>
      <c r="C30" s="1"/>
      <c r="D30" s="1"/>
      <c r="E30" s="1"/>
      <c r="G30" s="1" t="s">
        <v>5</v>
      </c>
      <c r="H30" s="1">
        <v>5669124</v>
      </c>
      <c r="I30" s="1">
        <v>5323348</v>
      </c>
      <c r="J30" s="1">
        <v>6451045</v>
      </c>
    </row>
    <row r="31" spans="1:10" x14ac:dyDescent="0.25">
      <c r="A31" s="3"/>
      <c r="B31" s="1" t="s">
        <v>3</v>
      </c>
      <c r="C31" s="1"/>
      <c r="D31" s="1"/>
      <c r="E31" s="1"/>
      <c r="G31" s="1" t="s">
        <v>3</v>
      </c>
      <c r="H31" s="1">
        <v>3947</v>
      </c>
      <c r="I31" s="1"/>
      <c r="J31" s="1"/>
    </row>
    <row r="32" spans="1:10" x14ac:dyDescent="0.25">
      <c r="A32" s="3"/>
      <c r="B32" s="2" t="s">
        <v>6</v>
      </c>
      <c r="C32" s="1">
        <v>8925.1</v>
      </c>
      <c r="D32" s="1">
        <v>2989.1</v>
      </c>
      <c r="E32" s="1"/>
      <c r="G32" s="2" t="s">
        <v>6</v>
      </c>
      <c r="H32" s="1"/>
      <c r="I32" s="1"/>
      <c r="J32" s="1"/>
    </row>
    <row r="33" spans="1:10" x14ac:dyDescent="0.25">
      <c r="A33" s="3"/>
      <c r="B33" s="2" t="s">
        <v>7</v>
      </c>
      <c r="C33" s="1">
        <v>4976.8999999999996</v>
      </c>
      <c r="D33" s="1">
        <v>9997.2999999999993</v>
      </c>
      <c r="E33" s="1">
        <v>10250.5</v>
      </c>
      <c r="G33" s="2" t="s">
        <v>7</v>
      </c>
      <c r="H33" s="1"/>
      <c r="I33" s="1"/>
      <c r="J33" s="1"/>
    </row>
  </sheetData>
  <mergeCells count="5">
    <mergeCell ref="B2:E2"/>
    <mergeCell ref="B13:E13"/>
    <mergeCell ref="B25:E25"/>
    <mergeCell ref="G13:J13"/>
    <mergeCell ref="G25:J25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7"/>
  <sheetViews>
    <sheetView tabSelected="1" zoomScale="88" workbookViewId="0">
      <selection activeCell="H14" sqref="H14"/>
    </sheetView>
  </sheetViews>
  <sheetFormatPr defaultRowHeight="14" x14ac:dyDescent="0.25"/>
  <cols>
    <col min="1" max="1" width="18.453125" style="5" customWidth="1"/>
    <col min="2" max="2" width="22.1796875" style="4" bestFit="1" customWidth="1"/>
    <col min="3" max="4" width="21" style="4" bestFit="1" customWidth="1"/>
    <col min="5" max="5" width="6" style="4" customWidth="1"/>
    <col min="6" max="6" width="8.81640625" style="4" customWidth="1"/>
    <col min="7" max="16384" width="8.7265625" style="4"/>
  </cols>
  <sheetData>
    <row r="1" spans="1:4" s="9" customFormat="1" x14ac:dyDescent="0.25">
      <c r="A1" s="21" t="s">
        <v>17</v>
      </c>
      <c r="B1" s="15" t="s">
        <v>18</v>
      </c>
      <c r="C1" s="16"/>
      <c r="D1" s="17"/>
    </row>
    <row r="2" spans="1:4" s="9" customFormat="1" x14ac:dyDescent="0.25">
      <c r="A2" s="22"/>
      <c r="B2" s="18"/>
      <c r="C2" s="19"/>
      <c r="D2" s="20"/>
    </row>
    <row r="3" spans="1:4" s="9" customFormat="1" x14ac:dyDescent="0.25">
      <c r="A3" s="13" t="s">
        <v>2</v>
      </c>
      <c r="B3" s="13">
        <v>28107272</v>
      </c>
      <c r="C3" s="13">
        <v>28944890</v>
      </c>
      <c r="D3" s="13">
        <v>28237044</v>
      </c>
    </row>
    <row r="4" spans="1:4" s="9" customFormat="1" x14ac:dyDescent="0.25">
      <c r="A4" s="14" t="s">
        <v>12</v>
      </c>
      <c r="B4" s="13">
        <v>30869850</v>
      </c>
      <c r="C4" s="13">
        <v>32906088</v>
      </c>
      <c r="D4" s="13">
        <v>30473506</v>
      </c>
    </row>
    <row r="5" spans="1:4" s="9" customFormat="1" x14ac:dyDescent="0.25">
      <c r="A5" s="13" t="s">
        <v>5</v>
      </c>
      <c r="B5" s="13">
        <v>28293208</v>
      </c>
      <c r="C5" s="13">
        <v>30664256</v>
      </c>
      <c r="D5" s="13">
        <v>30666224</v>
      </c>
    </row>
    <row r="6" spans="1:4" s="9" customFormat="1" x14ac:dyDescent="0.25">
      <c r="A6" s="14" t="s">
        <v>13</v>
      </c>
      <c r="B6" s="13">
        <v>52655.199999999997</v>
      </c>
      <c r="C6" s="13">
        <v>58306.8</v>
      </c>
      <c r="D6" s="13">
        <v>55560.9</v>
      </c>
    </row>
    <row r="7" spans="1:4" s="9" customFormat="1" x14ac:dyDescent="0.25">
      <c r="A7" s="14" t="s">
        <v>14</v>
      </c>
      <c r="B7" s="13">
        <v>34344.9</v>
      </c>
      <c r="C7" s="13">
        <v>14677.5</v>
      </c>
      <c r="D7" s="13">
        <v>10495.2</v>
      </c>
    </row>
    <row r="8" spans="1:4" s="9" customFormat="1" x14ac:dyDescent="0.25">
      <c r="A8" s="14" t="s">
        <v>15</v>
      </c>
      <c r="B8" s="13">
        <v>259134.7</v>
      </c>
      <c r="C8" s="13">
        <v>171519.3</v>
      </c>
      <c r="D8" s="13">
        <v>156827.9</v>
      </c>
    </row>
    <row r="9" spans="1:4" s="9" customFormat="1" x14ac:dyDescent="0.25">
      <c r="A9" s="8"/>
    </row>
    <row r="10" spans="1:4" s="9" customFormat="1" x14ac:dyDescent="0.25">
      <c r="A10" s="8"/>
    </row>
    <row r="11" spans="1:4" s="9" customFormat="1" x14ac:dyDescent="0.25">
      <c r="A11" s="21" t="s">
        <v>17</v>
      </c>
      <c r="B11" s="15" t="s">
        <v>10</v>
      </c>
      <c r="C11" s="16"/>
      <c r="D11" s="17"/>
    </row>
    <row r="12" spans="1:4" s="9" customFormat="1" x14ac:dyDescent="0.25">
      <c r="A12" s="22"/>
      <c r="B12" s="18"/>
      <c r="C12" s="19"/>
      <c r="D12" s="20"/>
    </row>
    <row r="13" spans="1:4" s="9" customFormat="1" x14ac:dyDescent="0.25">
      <c r="A13" s="13" t="s">
        <v>21</v>
      </c>
      <c r="B13" s="13">
        <f>SQRT(B3)</f>
        <v>5301.6291835623506</v>
      </c>
      <c r="C13" s="13">
        <f>SQRT(C3)</f>
        <v>5380.0455388407263</v>
      </c>
      <c r="D13" s="13">
        <f>SQRT(D3)</f>
        <v>5313.8539686370759</v>
      </c>
    </row>
    <row r="14" spans="1:4" s="9" customFormat="1" x14ac:dyDescent="0.25">
      <c r="A14" s="14" t="s">
        <v>12</v>
      </c>
      <c r="B14" s="13">
        <f>SQRT(B4)</f>
        <v>5556.0642544880639</v>
      </c>
      <c r="C14" s="13">
        <f>SQRT(C4)</f>
        <v>5736.3828324127744</v>
      </c>
      <c r="D14" s="13">
        <f>SQRT(D4)</f>
        <v>5520.281333410463</v>
      </c>
    </row>
    <row r="15" spans="1:4" s="9" customFormat="1" x14ac:dyDescent="0.25">
      <c r="A15" s="13" t="s">
        <v>22</v>
      </c>
      <c r="B15" s="13">
        <f>SQRT(B5)</f>
        <v>5319.1360200694244</v>
      </c>
      <c r="C15" s="13">
        <f>SQRT(C5)</f>
        <v>5537.5315800453909</v>
      </c>
      <c r="D15" s="13">
        <f>SQRT(D5)</f>
        <v>5537.7092736979248</v>
      </c>
    </row>
    <row r="16" spans="1:4" s="9" customFormat="1" x14ac:dyDescent="0.25">
      <c r="A16" s="14" t="s">
        <v>13</v>
      </c>
      <c r="B16" s="13">
        <f>SQRT(B6)</f>
        <v>229.46720898638219</v>
      </c>
      <c r="C16" s="13">
        <f>SQRT(C6)</f>
        <v>241.4680103036425</v>
      </c>
      <c r="D16" s="13">
        <f>SQRT(D6)</f>
        <v>235.71359740159244</v>
      </c>
    </row>
    <row r="17" spans="1:31" s="9" customFormat="1" x14ac:dyDescent="0.25">
      <c r="A17" s="14" t="s">
        <v>14</v>
      </c>
      <c r="B17" s="13">
        <f>SQRT(B7)</f>
        <v>185.32377073651401</v>
      </c>
      <c r="C17" s="13">
        <f>SQRT(C7)</f>
        <v>121.15073256072371</v>
      </c>
      <c r="D17" s="13">
        <f>SQRT(D7)</f>
        <v>102.44608338047873</v>
      </c>
    </row>
    <row r="18" spans="1:31" s="9" customFormat="1" x14ac:dyDescent="0.25">
      <c r="A18" s="14" t="s">
        <v>15</v>
      </c>
      <c r="B18" s="13">
        <f>SQRT(B8)</f>
        <v>509.05274775802951</v>
      </c>
      <c r="C18" s="13">
        <f>SQRT(C8)</f>
        <v>414.14888627159195</v>
      </c>
      <c r="D18" s="13">
        <f>SQRT(D8)</f>
        <v>396.01502496748782</v>
      </c>
    </row>
    <row r="19" spans="1:31" s="9" customFormat="1" x14ac:dyDescent="0.25">
      <c r="A19" s="8"/>
    </row>
    <row r="20" spans="1:31" s="9" customFormat="1" x14ac:dyDescent="0.25">
      <c r="A20" s="12" t="s">
        <v>16</v>
      </c>
      <c r="B20" s="12" t="s">
        <v>20</v>
      </c>
      <c r="C20" s="12"/>
      <c r="D20" s="12"/>
    </row>
    <row r="21" spans="1:31" s="9" customFormat="1" x14ac:dyDescent="0.25">
      <c r="A21" s="12"/>
      <c r="B21" s="12"/>
      <c r="C21" s="12"/>
      <c r="D21" s="12"/>
    </row>
    <row r="22" spans="1:31" s="9" customFormat="1" x14ac:dyDescent="0.25">
      <c r="A22" s="13" t="s">
        <v>2</v>
      </c>
      <c r="B22" s="13">
        <f>(B13+25.261)/3.1854</f>
        <v>1672.2829734295069</v>
      </c>
      <c r="C22" s="13">
        <f>(C13+25.261)/3.1854</f>
        <v>1696.9004014694315</v>
      </c>
      <c r="D22" s="13">
        <f>(D13+25.261)/3.1854</f>
        <v>1676.1207285229725</v>
      </c>
      <c r="F22" s="10" t="s">
        <v>19</v>
      </c>
    </row>
    <row r="23" spans="1:31" s="9" customFormat="1" x14ac:dyDescent="0.25">
      <c r="A23" s="14" t="s">
        <v>12</v>
      </c>
      <c r="B23" s="13">
        <f>(B14+25.261)/3.1854</f>
        <v>1752.1583645658518</v>
      </c>
      <c r="C23" s="13">
        <f>(C14+25.261)/3.1854</f>
        <v>1808.7661933863171</v>
      </c>
      <c r="D23" s="13">
        <f>(D14+25.261)/3.1854</f>
        <v>1740.9249492718225</v>
      </c>
      <c r="F23" s="11" t="s">
        <v>11</v>
      </c>
    </row>
    <row r="24" spans="1:31" s="9" customFormat="1" x14ac:dyDescent="0.25">
      <c r="A24" s="13" t="s">
        <v>5</v>
      </c>
      <c r="B24" s="13">
        <f>(B15+25.261)/3.1854</f>
        <v>1677.7789351633783</v>
      </c>
      <c r="C24" s="13">
        <f>(C15+25.261)/3.1854</f>
        <v>1746.3403591528195</v>
      </c>
      <c r="D24" s="13">
        <f>(D15+25.261)/3.1854</f>
        <v>1746.3961429327321</v>
      </c>
    </row>
    <row r="25" spans="1:31" s="9" customFormat="1" x14ac:dyDescent="0.25">
      <c r="A25" s="14" t="s">
        <v>13</v>
      </c>
      <c r="B25" s="13">
        <f>(25.261+B16)/3.1854</f>
        <v>79.967416646694971</v>
      </c>
      <c r="C25" s="13">
        <f>(25.261+C16)/3.1854</f>
        <v>83.734856000390053</v>
      </c>
      <c r="D25" s="13">
        <f>(25.261+D16)/3.1854</f>
        <v>81.928359829720748</v>
      </c>
    </row>
    <row r="26" spans="1:31" s="9" customFormat="1" x14ac:dyDescent="0.25">
      <c r="A26" s="14" t="s">
        <v>14</v>
      </c>
      <c r="B26" s="13">
        <f>(25.261+B17)/3.1854</f>
        <v>66.109364832207575</v>
      </c>
      <c r="C26" s="13">
        <f>(25.261+C17)/3.1854</f>
        <v>45.963374320563737</v>
      </c>
      <c r="D26" s="13">
        <f>(25.261+D17)/3.1854</f>
        <v>40.091380479838868</v>
      </c>
    </row>
    <row r="27" spans="1:31" x14ac:dyDescent="0.25">
      <c r="A27" s="14" t="s">
        <v>15</v>
      </c>
      <c r="B27" s="13">
        <f>(25.261+B18)/3.1854</f>
        <v>167.73835240724227</v>
      </c>
      <c r="C27" s="13">
        <f>(25.261+C18)/3.1854</f>
        <v>137.94496335518051</v>
      </c>
      <c r="D27" s="13">
        <f>(25.261+D18)/3.1854</f>
        <v>132.25215827446721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30" spans="1:31" ht="14" customHeight="1" x14ac:dyDescent="0.25">
      <c r="A30" s="12" t="s">
        <v>16</v>
      </c>
      <c r="B30" s="12" t="s">
        <v>23</v>
      </c>
      <c r="C30" s="12"/>
      <c r="D30" s="12"/>
    </row>
    <row r="31" spans="1:31" x14ac:dyDescent="0.25">
      <c r="A31" s="12"/>
      <c r="B31" s="12"/>
      <c r="C31" s="12"/>
      <c r="D31" s="12"/>
    </row>
    <row r="32" spans="1:31" x14ac:dyDescent="0.25">
      <c r="A32" s="13" t="s">
        <v>2</v>
      </c>
      <c r="B32" s="13">
        <f>B22*0.2</f>
        <v>334.45659468590139</v>
      </c>
      <c r="C32" s="13">
        <f>C22*0.2</f>
        <v>339.38008029388629</v>
      </c>
      <c r="D32" s="13">
        <f>D22*0.2</f>
        <v>335.22414570459455</v>
      </c>
    </row>
    <row r="33" spans="1:4" x14ac:dyDescent="0.25">
      <c r="A33" s="14" t="s">
        <v>12</v>
      </c>
      <c r="B33" s="13">
        <f>B23*0.2</f>
        <v>350.43167291317036</v>
      </c>
      <c r="C33" s="13">
        <f>C23*0.2</f>
        <v>361.75323867726343</v>
      </c>
      <c r="D33" s="13">
        <f>D23*0.2</f>
        <v>348.18498985436452</v>
      </c>
    </row>
    <row r="34" spans="1:4" x14ac:dyDescent="0.25">
      <c r="A34" s="13" t="s">
        <v>5</v>
      </c>
      <c r="B34" s="13">
        <f>B24*0.2</f>
        <v>335.55578703267565</v>
      </c>
      <c r="C34" s="13">
        <f>C24*0.2</f>
        <v>349.26807183056394</v>
      </c>
      <c r="D34" s="13">
        <f>D24*0.2</f>
        <v>349.27922858654642</v>
      </c>
    </row>
    <row r="35" spans="1:4" x14ac:dyDescent="0.25">
      <c r="A35" s="14" t="s">
        <v>13</v>
      </c>
      <c r="B35" s="13">
        <f>0.2*B25</f>
        <v>15.993483329338995</v>
      </c>
      <c r="C35" s="13">
        <f>0.2*C25</f>
        <v>16.746971200078011</v>
      </c>
      <c r="D35" s="13">
        <f>0.2*D25</f>
        <v>16.385671965944152</v>
      </c>
    </row>
    <row r="36" spans="1:4" x14ac:dyDescent="0.25">
      <c r="A36" s="14" t="s">
        <v>14</v>
      </c>
      <c r="B36" s="13">
        <f>0.2*B26</f>
        <v>13.221872966441516</v>
      </c>
      <c r="C36" s="13">
        <f>0.2*C26</f>
        <v>9.1926748641127478</v>
      </c>
      <c r="D36" s="13">
        <f>0.2*D26</f>
        <v>8.0182760959677744</v>
      </c>
    </row>
    <row r="37" spans="1:4" x14ac:dyDescent="0.25">
      <c r="A37" s="14" t="s">
        <v>15</v>
      </c>
      <c r="B37" s="13">
        <f>0.2*B27</f>
        <v>33.547670481448456</v>
      </c>
      <c r="C37" s="13">
        <f>0.2*C27</f>
        <v>27.588992671036102</v>
      </c>
      <c r="D37" s="13">
        <f>0.2*D27</f>
        <v>26.450431654893443</v>
      </c>
    </row>
  </sheetData>
  <mergeCells count="8">
    <mergeCell ref="A30:A31"/>
    <mergeCell ref="B30:D31"/>
    <mergeCell ref="A20:A21"/>
    <mergeCell ref="B20:D21"/>
    <mergeCell ref="B11:D12"/>
    <mergeCell ref="A11:A12"/>
    <mergeCell ref="A1:A2"/>
    <mergeCell ref="B1:D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浩颖 刘</cp:lastModifiedBy>
  <dcterms:created xsi:type="dcterms:W3CDTF">2026-09-21T18:31:37Z</dcterms:created>
  <dcterms:modified xsi:type="dcterms:W3CDTF">2026-10-07T15:03:59Z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32F369317FB193A88907B16A6AF8D1B1_41</vt:lpwstr>
  </property>
  <property fmtid="{D5CDD505-2E9C-101B-9397-08002B2CF9AE}" pid="3" name="KSOProductBuildVer">
    <vt:lpwstr>2052-7.5.1.8994</vt:lpwstr>
  </property>
</Properties>
</file>